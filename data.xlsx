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m06\OneDrive\เดสก์ท็อป\my-note-app\"/>
    </mc:Choice>
  </mc:AlternateContent>
  <xr:revisionPtr revIDLastSave="0" documentId="13_ncr:1_{A36206B9-26EF-41F8-B444-1C02B1152371}" xr6:coauthVersionLast="47" xr6:coauthVersionMax="47" xr10:uidLastSave="{00000000-0000-0000-0000-000000000000}"/>
  <bookViews>
    <workbookView xWindow="11424" yWindow="0" windowWidth="11712" windowHeight="12336" xr2:uid="{0DA58EF7-C920-4DDF-88E5-31BAD0AB230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0" i="1" l="1"/>
  <c r="F39" i="1"/>
  <c r="F36" i="1"/>
  <c r="G39" i="1"/>
  <c r="G36" i="1"/>
  <c r="E12" i="1"/>
  <c r="D12" i="1"/>
  <c r="E10" i="1"/>
  <c r="D10" i="1"/>
  <c r="E9" i="1"/>
  <c r="D9" i="1"/>
  <c r="E8" i="1"/>
  <c r="D8" i="1"/>
  <c r="G8" i="1" s="1"/>
  <c r="E7" i="1"/>
  <c r="D7" i="1"/>
  <c r="F12" i="1" l="1"/>
  <c r="G7" i="1"/>
  <c r="F9" i="1"/>
</calcChain>
</file>

<file path=xl/sharedStrings.xml><?xml version="1.0" encoding="utf-8"?>
<sst xmlns="http://schemas.openxmlformats.org/spreadsheetml/2006/main" count="75" uniqueCount="19">
  <si>
    <t>วันที่</t>
  </si>
  <si>
    <t>ค่ามิเตอร์</t>
  </si>
  <si>
    <t>ไฟฟ้าที่ผลิตได้</t>
  </si>
  <si>
    <t>ผลรวม</t>
  </si>
  <si>
    <t>kwhr</t>
  </si>
  <si>
    <t>เฟส 1</t>
  </si>
  <si>
    <t>เฟส 2</t>
  </si>
  <si>
    <t>วันปกติ</t>
  </si>
  <si>
    <t>วันหยุด</t>
  </si>
  <si>
    <t>รวม</t>
  </si>
  <si>
    <t>หน่วยละ</t>
  </si>
  <si>
    <t>เป็นเงิน</t>
  </si>
  <si>
    <t xml:space="preserve">ประหยัดไฟรวม เป็นเงิน </t>
  </si>
  <si>
    <t>รวมทั้งสิ้น</t>
  </si>
  <si>
    <t>-</t>
  </si>
  <si>
    <t>ตารางการผลิตไฟฟ้าจากโซล่าเซล ประจำเดือน มกราคม  2569</t>
  </si>
  <si>
    <t>หกแสนสองหมื่นหกพันเจ็ดร้อยยี่สิบสี่บาทถ้วน</t>
  </si>
  <si>
    <t>ตารางการผลิตไฟฟ้าจากโซล่าเซล ประจำเดือน กุมภาพันธ์  2569</t>
  </si>
  <si>
    <t>ตารางการผลิตไฟฟ้าจากโซล่าเซล ประจำเดือน มีนาคม  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</si>
</sst>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Tahoma"/>
      <family val="2"/>
      <charset val="222"/>
      <scheme val="minor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sz val="12"/>
      <color theme="1"/>
      <name val="Tahoma"/>
      <family val="2"/>
      <charset val="222"/>
      <scheme val="minor"/>
    </font>
    <font>
      <b/>
      <sz val="18"/>
      <color theme="1"/>
      <name val="Angsana New"/>
      <family val="1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3" fontId="0" fillId="2" borderId="1" xfId="0" applyNumberForma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3" fontId="0" fillId="4" borderId="1" xfId="0" applyNumberFormat="1" applyFill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1" fillId="4" borderId="1" xfId="0" applyNumberFormat="1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3" fontId="1" fillId="0" borderId="10" xfId="0" applyNumberFormat="1" applyFont="1" applyBorder="1" applyAlignment="1">
      <alignment horizontal="center"/>
    </xf>
    <xf numFmtId="14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3" fontId="1" fillId="2" borderId="1" xfId="0" applyNumberFormat="1" applyFont="1" applyFill="1" applyBorder="1" applyAlignment="1">
      <alignment horizontal="center"/>
    </xf>
    <xf numFmtId="3" fontId="1" fillId="3" borderId="1" xfId="0" applyNumberFormat="1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/>
    <xf numFmtId="3" fontId="1" fillId="4" borderId="9" xfId="0" applyNumberFormat="1" applyFont="1" applyFill="1" applyBorder="1" applyAlignment="1">
      <alignment horizontal="center"/>
    </xf>
    <xf numFmtId="0" fontId="1" fillId="4" borderId="0" xfId="0" applyFont="1" applyFill="1"/>
    <xf numFmtId="3" fontId="1" fillId="4" borderId="2" xfId="0" applyNumberFormat="1" applyFont="1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4" fillId="8" borderId="0" xfId="0" applyFont="1" applyFill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1" fillId="6" borderId="1" xfId="0" applyNumberFormat="1" applyFont="1" applyFill="1" applyBorder="1" applyAlignment="1">
      <alignment horizontal="center"/>
    </xf>
    <xf numFmtId="3" fontId="1" fillId="7" borderId="1" xfId="0" applyNumberFormat="1" applyFont="1" applyFill="1" applyBorder="1" applyAlignment="1">
      <alignment horizontal="center"/>
    </xf>
    <xf numFmtId="3" fontId="1" fillId="5" borderId="2" xfId="0" applyNumberFormat="1" applyFont="1" applyFill="1" applyBorder="1" applyAlignment="1">
      <alignment horizontal="center"/>
    </xf>
    <xf numFmtId="3" fontId="1" fillId="5" borderId="0" xfId="0" applyNumberFormat="1" applyFont="1" applyFill="1" applyAlignment="1">
      <alignment horizontal="center"/>
    </xf>
    <xf numFmtId="3" fontId="1" fillId="0" borderId="2" xfId="0" applyNumberFormat="1" applyFont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3" fillId="8" borderId="0" xfId="0" applyFont="1" applyFill="1" applyAlignment="1">
      <alignment horizontal="center"/>
    </xf>
    <xf numFmtId="3" fontId="0" fillId="6" borderId="1" xfId="0" applyNumberFormat="1" applyFill="1" applyBorder="1" applyAlignment="1">
      <alignment horizontal="center"/>
    </xf>
    <xf numFmtId="3" fontId="0" fillId="7" borderId="1" xfId="0" applyNumberFormat="1" applyFill="1" applyBorder="1" applyAlignment="1">
      <alignment horizontal="center"/>
    </xf>
    <xf numFmtId="3" fontId="0" fillId="5" borderId="2" xfId="0" applyNumberFormat="1" applyFill="1" applyBorder="1" applyAlignment="1">
      <alignment horizontal="center"/>
    </xf>
    <xf numFmtId="3" fontId="0" fillId="5" borderId="0" xfId="0" applyNumberFormat="1" applyFill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ปกติ" xfId="0" builtinId="0"/>
  </cellStyles>
  <dxfs count="0"/>
  <tableStyles count="1" defaultTableStyle="TableStyleMedium2" defaultPivotStyle="PivotStyleLight16">
    <tableStyle name="Invisible" pivot="0" table="0" count="0" xr9:uid="{8962B43D-684F-4A9D-9769-FD56A4DD479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E826B-E664-4010-AE7F-D29DE8C9FABA}">
  <dimension ref="A1:G41"/>
  <sheetViews>
    <sheetView tabSelected="1" zoomScale="91" workbookViewId="0">
      <selection activeCell="G5" sqref="G5"/>
    </sheetView>
  </sheetViews>
  <sheetFormatPr defaultRowHeight="23.4" x14ac:dyDescent="0.6"/>
  <cols>
    <col min="1" max="1" width="10.09765625" style="14" customWidth="1"/>
    <col min="2" max="2" width="13.5" style="14" customWidth="1"/>
    <col min="3" max="3" width="11.5" style="14" customWidth="1"/>
    <col min="4" max="4" width="10" style="14" bestFit="1" customWidth="1"/>
    <col min="5" max="5" width="12.19921875" style="14" customWidth="1"/>
    <col min="6" max="6" width="13.69921875" style="14" customWidth="1"/>
    <col min="7" max="7" width="13.8984375" style="14" customWidth="1"/>
    <col min="8" max="16384" width="8.796875" style="14"/>
  </cols>
  <sheetData>
    <row r="1" spans="1:7" ht="26.4" customHeight="1" x14ac:dyDescent="0.6">
      <c r="A1" s="27" t="s">
        <v>15</v>
      </c>
      <c r="B1" s="27"/>
      <c r="C1" s="27"/>
      <c r="D1" s="27"/>
      <c r="E1" s="27"/>
      <c r="F1" s="27"/>
      <c r="G1" s="27"/>
    </row>
    <row r="2" spans="1:7" x14ac:dyDescent="0.6">
      <c r="A2" s="15" t="s">
        <v>0</v>
      </c>
      <c r="B2" s="37" t="s">
        <v>1</v>
      </c>
      <c r="C2" s="37"/>
      <c r="D2" s="38" t="s">
        <v>2</v>
      </c>
      <c r="E2" s="38"/>
      <c r="F2" s="39" t="s">
        <v>3</v>
      </c>
      <c r="G2" s="40"/>
    </row>
    <row r="3" spans="1:7" x14ac:dyDescent="0.6">
      <c r="A3" s="5"/>
      <c r="B3" s="5" t="s">
        <v>4</v>
      </c>
      <c r="C3" s="5" t="s">
        <v>4</v>
      </c>
      <c r="D3" s="5" t="s">
        <v>4</v>
      </c>
      <c r="E3" s="5" t="s">
        <v>4</v>
      </c>
      <c r="F3" s="41" t="s">
        <v>4</v>
      </c>
      <c r="G3" s="42"/>
    </row>
    <row r="4" spans="1:7" x14ac:dyDescent="0.6">
      <c r="A4" s="5"/>
      <c r="B4" s="16" t="s">
        <v>5</v>
      </c>
      <c r="C4" s="9" t="s">
        <v>6</v>
      </c>
      <c r="D4" s="16" t="s">
        <v>5</v>
      </c>
      <c r="E4" s="9" t="s">
        <v>6</v>
      </c>
      <c r="F4" s="5" t="s">
        <v>7</v>
      </c>
      <c r="G4" s="9" t="s">
        <v>8</v>
      </c>
    </row>
    <row r="5" spans="1:7" x14ac:dyDescent="0.6">
      <c r="A5" s="17">
        <v>244350</v>
      </c>
      <c r="B5" s="5" t="s">
        <v>14</v>
      </c>
      <c r="C5" s="5" t="s">
        <v>14</v>
      </c>
      <c r="D5" s="5" t="s">
        <v>14</v>
      </c>
      <c r="E5" s="5" t="s">
        <v>14</v>
      </c>
      <c r="F5" s="5" t="s">
        <v>14</v>
      </c>
      <c r="G5" s="13">
        <v>45674</v>
      </c>
    </row>
    <row r="6" spans="1:7" x14ac:dyDescent="0.6">
      <c r="A6" s="17">
        <v>244351</v>
      </c>
      <c r="B6" s="5" t="s">
        <v>14</v>
      </c>
      <c r="C6" s="5" t="s">
        <v>14</v>
      </c>
      <c r="D6" s="5" t="s">
        <v>14</v>
      </c>
      <c r="E6" s="5" t="s">
        <v>14</v>
      </c>
      <c r="F6" s="5" t="s">
        <v>14</v>
      </c>
      <c r="G6" s="13" t="s">
        <v>14</v>
      </c>
    </row>
    <row r="7" spans="1:7" x14ac:dyDescent="0.6">
      <c r="A7" s="18">
        <v>244352</v>
      </c>
      <c r="B7" s="9">
        <v>2954400</v>
      </c>
      <c r="C7" s="9">
        <v>2357500</v>
      </c>
      <c r="D7" s="9">
        <f t="shared" ref="D7:E9" si="0">B8-B7</f>
        <v>3300</v>
      </c>
      <c r="E7" s="9">
        <f t="shared" si="0"/>
        <v>2200</v>
      </c>
      <c r="F7" s="19"/>
      <c r="G7" s="9">
        <f>E7+D7</f>
        <v>5500</v>
      </c>
    </row>
    <row r="8" spans="1:7" x14ac:dyDescent="0.6">
      <c r="A8" s="18">
        <v>244353</v>
      </c>
      <c r="B8" s="9">
        <v>2957700</v>
      </c>
      <c r="C8" s="9">
        <v>2359700</v>
      </c>
      <c r="D8" s="9">
        <f t="shared" si="0"/>
        <v>3200</v>
      </c>
      <c r="E8" s="9">
        <f t="shared" si="0"/>
        <v>2100</v>
      </c>
      <c r="F8" s="19"/>
      <c r="G8" s="9">
        <f>D8+E8</f>
        <v>5300</v>
      </c>
    </row>
    <row r="9" spans="1:7" x14ac:dyDescent="0.6">
      <c r="A9" s="17">
        <v>244354</v>
      </c>
      <c r="B9" s="5">
        <v>2960900</v>
      </c>
      <c r="C9" s="5">
        <v>2361800</v>
      </c>
      <c r="D9" s="5">
        <f t="shared" si="0"/>
        <v>400</v>
      </c>
      <c r="E9" s="5">
        <f t="shared" si="0"/>
        <v>300</v>
      </c>
      <c r="F9" s="5">
        <f>E9+D9</f>
        <v>700</v>
      </c>
      <c r="G9" s="13"/>
    </row>
    <row r="10" spans="1:7" x14ac:dyDescent="0.6">
      <c r="A10" s="17">
        <v>244355</v>
      </c>
      <c r="B10" s="5">
        <v>2961300</v>
      </c>
      <c r="C10" s="5">
        <v>2362100</v>
      </c>
      <c r="D10" s="5">
        <f>B11-B10</f>
        <v>0</v>
      </c>
      <c r="E10" s="5">
        <f>C11-C10</f>
        <v>0</v>
      </c>
      <c r="F10" s="5">
        <v>0</v>
      </c>
      <c r="G10" s="13"/>
    </row>
    <row r="11" spans="1:7" x14ac:dyDescent="0.6">
      <c r="A11" s="17">
        <v>244356</v>
      </c>
      <c r="B11" s="5">
        <v>2961300</v>
      </c>
      <c r="C11" s="5">
        <v>2362100</v>
      </c>
      <c r="D11" s="5">
        <v>0</v>
      </c>
      <c r="E11" s="5">
        <v>0</v>
      </c>
      <c r="F11" s="5">
        <v>0</v>
      </c>
      <c r="G11" s="13"/>
    </row>
    <row r="12" spans="1:7" x14ac:dyDescent="0.6">
      <c r="A12" s="17">
        <v>244357</v>
      </c>
      <c r="B12" s="5">
        <v>2961300</v>
      </c>
      <c r="C12" s="5">
        <v>2362100</v>
      </c>
      <c r="D12" s="5">
        <f>B13-B12</f>
        <v>3000</v>
      </c>
      <c r="E12" s="5">
        <f>C13-C12</f>
        <v>2700</v>
      </c>
      <c r="F12" s="5">
        <f>E12+D12</f>
        <v>5700</v>
      </c>
      <c r="G12" s="13"/>
    </row>
    <row r="13" spans="1:7" x14ac:dyDescent="0.6">
      <c r="A13" s="17">
        <v>244358</v>
      </c>
      <c r="B13" s="5">
        <v>2964300</v>
      </c>
      <c r="C13" s="5">
        <v>2364800</v>
      </c>
      <c r="D13" s="5">
        <v>4100</v>
      </c>
      <c r="E13" s="5">
        <v>3800</v>
      </c>
      <c r="F13" s="5">
        <v>7900</v>
      </c>
      <c r="G13" s="13"/>
    </row>
    <row r="14" spans="1:7" x14ac:dyDescent="0.6">
      <c r="A14" s="18">
        <v>244359</v>
      </c>
      <c r="B14" s="9">
        <v>2968400</v>
      </c>
      <c r="C14" s="9">
        <v>2368600</v>
      </c>
      <c r="D14" s="9">
        <v>4200</v>
      </c>
      <c r="E14" s="9">
        <v>3800</v>
      </c>
      <c r="F14" s="9"/>
      <c r="G14" s="9">
        <v>8000</v>
      </c>
    </row>
    <row r="15" spans="1:7" x14ac:dyDescent="0.6">
      <c r="A15" s="18">
        <v>244360</v>
      </c>
      <c r="B15" s="9">
        <v>2972600</v>
      </c>
      <c r="C15" s="9">
        <v>2372400</v>
      </c>
      <c r="D15" s="9">
        <v>4000</v>
      </c>
      <c r="E15" s="9">
        <v>3700</v>
      </c>
      <c r="F15" s="9"/>
      <c r="G15" s="9">
        <v>7700</v>
      </c>
    </row>
    <row r="16" spans="1:7" x14ac:dyDescent="0.6">
      <c r="A16" s="17">
        <v>244361</v>
      </c>
      <c r="B16" s="5">
        <v>2976600</v>
      </c>
      <c r="C16" s="5">
        <v>2376100</v>
      </c>
      <c r="D16" s="5"/>
      <c r="E16" s="5"/>
      <c r="F16" s="5"/>
      <c r="G16" s="5"/>
    </row>
    <row r="17" spans="1:7" x14ac:dyDescent="0.6">
      <c r="A17" s="18">
        <v>244362</v>
      </c>
      <c r="B17" s="5">
        <v>3846</v>
      </c>
      <c r="C17" s="5">
        <v>3475</v>
      </c>
      <c r="D17" s="5">
        <v>3846</v>
      </c>
      <c r="E17" s="5">
        <v>3475</v>
      </c>
      <c r="F17" s="5">
        <v>7321</v>
      </c>
      <c r="G17" s="5"/>
    </row>
    <row r="18" spans="1:7" x14ac:dyDescent="0.6">
      <c r="A18" s="17">
        <v>244363</v>
      </c>
      <c r="B18" s="5">
        <v>7557</v>
      </c>
      <c r="C18" s="5">
        <v>6790</v>
      </c>
      <c r="D18" s="5">
        <v>3711</v>
      </c>
      <c r="E18" s="5">
        <v>3315</v>
      </c>
      <c r="F18" s="5">
        <v>7026</v>
      </c>
      <c r="G18" s="5"/>
    </row>
    <row r="19" spans="1:7" x14ac:dyDescent="0.6">
      <c r="A19" s="18">
        <v>244364</v>
      </c>
      <c r="B19" s="5">
        <v>11086</v>
      </c>
      <c r="C19" s="5">
        <v>9920</v>
      </c>
      <c r="D19" s="5">
        <v>3251</v>
      </c>
      <c r="E19" s="5">
        <v>2840</v>
      </c>
      <c r="F19" s="5">
        <v>6091</v>
      </c>
      <c r="G19" s="5"/>
    </row>
    <row r="20" spans="1:7" x14ac:dyDescent="0.6">
      <c r="A20" s="17">
        <v>244365</v>
      </c>
      <c r="B20" s="5">
        <v>14337</v>
      </c>
      <c r="C20" s="5">
        <v>12760</v>
      </c>
      <c r="D20" s="5">
        <v>3483</v>
      </c>
      <c r="E20" s="5">
        <v>3016</v>
      </c>
      <c r="F20" s="5">
        <v>6499</v>
      </c>
      <c r="G20" s="5"/>
    </row>
    <row r="21" spans="1:7" x14ac:dyDescent="0.6">
      <c r="A21" s="18">
        <v>244366</v>
      </c>
      <c r="B21" s="9">
        <v>17820</v>
      </c>
      <c r="C21" s="9">
        <v>15776</v>
      </c>
      <c r="D21" s="9">
        <v>3275</v>
      </c>
      <c r="E21" s="9">
        <v>2782</v>
      </c>
      <c r="F21" s="9"/>
      <c r="G21" s="9">
        <v>6057</v>
      </c>
    </row>
    <row r="22" spans="1:7" x14ac:dyDescent="0.6">
      <c r="A22" s="17">
        <v>244367</v>
      </c>
      <c r="B22" s="9">
        <v>21095</v>
      </c>
      <c r="C22" s="9">
        <v>18558</v>
      </c>
      <c r="D22" s="9">
        <v>3471</v>
      </c>
      <c r="E22" s="9">
        <v>2908</v>
      </c>
      <c r="F22" s="9"/>
      <c r="G22" s="9">
        <v>6379</v>
      </c>
    </row>
    <row r="23" spans="1:7" x14ac:dyDescent="0.6">
      <c r="A23" s="18">
        <v>244368</v>
      </c>
      <c r="B23" s="5">
        <v>24566</v>
      </c>
      <c r="C23" s="5">
        <v>21466</v>
      </c>
      <c r="D23" s="5">
        <v>3376</v>
      </c>
      <c r="E23" s="5">
        <v>2784</v>
      </c>
      <c r="F23" s="5">
        <v>6160</v>
      </c>
      <c r="G23" s="5"/>
    </row>
    <row r="24" spans="1:7" x14ac:dyDescent="0.6">
      <c r="A24" s="17">
        <v>244369</v>
      </c>
      <c r="B24" s="5">
        <v>27942</v>
      </c>
      <c r="C24" s="5">
        <v>24250</v>
      </c>
      <c r="D24" s="5">
        <v>3397</v>
      </c>
      <c r="E24" s="5">
        <v>2787</v>
      </c>
      <c r="F24" s="5">
        <v>6184</v>
      </c>
      <c r="G24" s="5"/>
    </row>
    <row r="25" spans="1:7" x14ac:dyDescent="0.6">
      <c r="A25" s="18">
        <v>244370</v>
      </c>
      <c r="B25" s="5">
        <v>31339</v>
      </c>
      <c r="C25" s="5">
        <v>27037</v>
      </c>
      <c r="D25" s="5">
        <v>2628</v>
      </c>
      <c r="E25" s="5">
        <v>2156</v>
      </c>
      <c r="F25" s="5">
        <v>4784</v>
      </c>
      <c r="G25" s="5"/>
    </row>
    <row r="26" spans="1:7" x14ac:dyDescent="0.6">
      <c r="A26" s="17">
        <v>244371</v>
      </c>
      <c r="B26" s="5">
        <v>33967</v>
      </c>
      <c r="C26" s="5">
        <v>29193</v>
      </c>
      <c r="D26" s="5">
        <v>3597</v>
      </c>
      <c r="E26" s="5">
        <v>2932</v>
      </c>
      <c r="F26" s="5">
        <v>6529</v>
      </c>
      <c r="G26" s="5"/>
    </row>
    <row r="27" spans="1:7" x14ac:dyDescent="0.6">
      <c r="A27" s="18">
        <v>244372</v>
      </c>
      <c r="B27" s="5">
        <v>37564</v>
      </c>
      <c r="C27" s="5">
        <v>32125</v>
      </c>
      <c r="D27" s="5">
        <v>3077</v>
      </c>
      <c r="E27" s="5">
        <v>2485</v>
      </c>
      <c r="F27" s="5">
        <v>5562</v>
      </c>
      <c r="G27" s="5"/>
    </row>
    <row r="28" spans="1:7" x14ac:dyDescent="0.6">
      <c r="A28" s="17">
        <v>244373</v>
      </c>
      <c r="B28" s="9">
        <v>40641</v>
      </c>
      <c r="C28" s="9">
        <v>34610</v>
      </c>
      <c r="D28" s="9">
        <v>3330</v>
      </c>
      <c r="E28" s="9">
        <v>2673</v>
      </c>
      <c r="F28" s="9"/>
      <c r="G28" s="9">
        <v>6003</v>
      </c>
    </row>
    <row r="29" spans="1:7" x14ac:dyDescent="0.6">
      <c r="A29" s="18">
        <v>244374</v>
      </c>
      <c r="B29" s="9">
        <v>43971</v>
      </c>
      <c r="C29" s="9">
        <v>37283</v>
      </c>
      <c r="D29" s="9">
        <v>3370</v>
      </c>
      <c r="E29" s="9">
        <v>2673</v>
      </c>
      <c r="F29" s="9"/>
      <c r="G29" s="9">
        <v>6003</v>
      </c>
    </row>
    <row r="30" spans="1:7" x14ac:dyDescent="0.6">
      <c r="A30" s="17">
        <v>244375</v>
      </c>
      <c r="B30" s="5">
        <v>47341</v>
      </c>
      <c r="C30" s="5">
        <v>39956</v>
      </c>
      <c r="D30" s="5">
        <v>3393</v>
      </c>
      <c r="E30" s="5">
        <v>2677</v>
      </c>
      <c r="F30" s="5">
        <v>6070</v>
      </c>
      <c r="G30" s="5"/>
    </row>
    <row r="31" spans="1:7" x14ac:dyDescent="0.6">
      <c r="A31" s="18">
        <v>244376</v>
      </c>
      <c r="B31" s="5">
        <v>50734</v>
      </c>
      <c r="C31" s="5">
        <v>42633</v>
      </c>
      <c r="D31" s="5">
        <v>3377</v>
      </c>
      <c r="E31" s="5">
        <v>2650</v>
      </c>
      <c r="F31" s="5">
        <v>6027</v>
      </c>
      <c r="G31" s="5"/>
    </row>
    <row r="32" spans="1:7" x14ac:dyDescent="0.6">
      <c r="A32" s="17">
        <v>244377</v>
      </c>
      <c r="B32" s="5">
        <v>54111</v>
      </c>
      <c r="C32" s="5">
        <v>45283</v>
      </c>
      <c r="D32" s="5">
        <v>3328</v>
      </c>
      <c r="E32" s="5">
        <v>2600</v>
      </c>
      <c r="F32" s="5">
        <v>5928</v>
      </c>
      <c r="G32" s="5"/>
    </row>
    <row r="33" spans="1:7" x14ac:dyDescent="0.6">
      <c r="A33" s="18">
        <v>244378</v>
      </c>
      <c r="B33" s="5">
        <v>57439</v>
      </c>
      <c r="C33" s="5">
        <v>47883</v>
      </c>
      <c r="D33" s="5">
        <v>3241</v>
      </c>
      <c r="E33" s="5">
        <v>2507</v>
      </c>
      <c r="F33" s="5">
        <v>5748</v>
      </c>
      <c r="G33" s="5"/>
    </row>
    <row r="34" spans="1:7" x14ac:dyDescent="0.6">
      <c r="A34" s="17">
        <v>244379</v>
      </c>
      <c r="B34" s="5">
        <v>60680</v>
      </c>
      <c r="C34" s="5">
        <v>50390</v>
      </c>
      <c r="D34" s="5">
        <v>3084</v>
      </c>
      <c r="E34" s="5">
        <v>2369</v>
      </c>
      <c r="F34" s="5">
        <v>5453</v>
      </c>
      <c r="G34" s="5"/>
    </row>
    <row r="35" spans="1:7" x14ac:dyDescent="0.6">
      <c r="A35" s="18">
        <v>244380</v>
      </c>
      <c r="B35" s="20">
        <v>63764</v>
      </c>
      <c r="C35" s="20">
        <v>52759</v>
      </c>
      <c r="D35" s="20">
        <v>3276</v>
      </c>
      <c r="E35" s="20">
        <v>2509</v>
      </c>
      <c r="F35" s="21"/>
      <c r="G35" s="22">
        <v>5785</v>
      </c>
    </row>
    <row r="36" spans="1:7" x14ac:dyDescent="0.6">
      <c r="E36" s="6" t="s">
        <v>9</v>
      </c>
      <c r="F36" s="5">
        <f>SUM(F7:F35)</f>
        <v>99682</v>
      </c>
      <c r="G36" s="5">
        <f>SUM(G7:G35)</f>
        <v>56727</v>
      </c>
    </row>
    <row r="37" spans="1:7" ht="16.2" customHeight="1" x14ac:dyDescent="0.6">
      <c r="E37" s="7"/>
    </row>
    <row r="38" spans="1:7" x14ac:dyDescent="0.6">
      <c r="D38" s="43" t="s">
        <v>10</v>
      </c>
      <c r="E38" s="43"/>
      <c r="F38" s="8">
        <v>4.58</v>
      </c>
      <c r="G38" s="8">
        <v>3</v>
      </c>
    </row>
    <row r="39" spans="1:7" x14ac:dyDescent="0.6">
      <c r="D39" s="34" t="s">
        <v>11</v>
      </c>
      <c r="E39" s="34"/>
      <c r="F39" s="5">
        <f>F36*F38</f>
        <v>456543.56</v>
      </c>
      <c r="G39" s="5">
        <f>G36*G38</f>
        <v>170181</v>
      </c>
    </row>
    <row r="40" spans="1:7" x14ac:dyDescent="0.6">
      <c r="A40" s="28" t="s">
        <v>12</v>
      </c>
      <c r="B40" s="29"/>
      <c r="C40" s="30"/>
      <c r="D40" s="34" t="s">
        <v>13</v>
      </c>
      <c r="E40" s="34"/>
      <c r="F40" s="35">
        <f>F39+G39</f>
        <v>626724.56000000006</v>
      </c>
      <c r="G40" s="35"/>
    </row>
    <row r="41" spans="1:7" x14ac:dyDescent="0.6">
      <c r="A41" s="31"/>
      <c r="B41" s="32"/>
      <c r="C41" s="33"/>
      <c r="D41" s="36" t="s">
        <v>16</v>
      </c>
      <c r="E41" s="36"/>
      <c r="F41" s="36"/>
      <c r="G41" s="36"/>
    </row>
  </sheetData>
  <mergeCells count="11">
    <mergeCell ref="A1:G1"/>
    <mergeCell ref="A40:C41"/>
    <mergeCell ref="D40:E40"/>
    <mergeCell ref="F40:G40"/>
    <mergeCell ref="D41:G41"/>
    <mergeCell ref="B2:C2"/>
    <mergeCell ref="D2:E2"/>
    <mergeCell ref="F2:G2"/>
    <mergeCell ref="F3:G3"/>
    <mergeCell ref="D38:E38"/>
    <mergeCell ref="D39:E39"/>
  </mergeCells>
  <pageMargins left="0.85" right="0.70866141732283472" top="0.14000000000000001" bottom="0.56999999999999995" header="0.12" footer="0.31496062992125984"/>
  <pageSetup paperSize="9" scale="80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E71DC-EE3C-46C6-A1FA-6894604809A7}">
  <dimension ref="A1:G38"/>
  <sheetViews>
    <sheetView workbookViewId="0">
      <selection activeCell="H32" sqref="H32"/>
    </sheetView>
  </sheetViews>
  <sheetFormatPr defaultRowHeight="13.8" x14ac:dyDescent="0.25"/>
  <cols>
    <col min="1" max="1" width="9.09765625" bestFit="1" customWidth="1"/>
  </cols>
  <sheetData>
    <row r="1" spans="1:7" ht="15" x14ac:dyDescent="0.25">
      <c r="A1" s="44" t="s">
        <v>17</v>
      </c>
      <c r="B1" s="44"/>
      <c r="C1" s="44"/>
      <c r="D1" s="44"/>
      <c r="E1" s="44"/>
      <c r="F1" s="44"/>
      <c r="G1" s="44"/>
    </row>
    <row r="2" spans="1:7" x14ac:dyDescent="0.25">
      <c r="A2" s="1" t="s">
        <v>0</v>
      </c>
      <c r="B2" s="45" t="s">
        <v>1</v>
      </c>
      <c r="C2" s="45"/>
      <c r="D2" s="46" t="s">
        <v>2</v>
      </c>
      <c r="E2" s="46"/>
      <c r="F2" s="47" t="s">
        <v>3</v>
      </c>
      <c r="G2" s="48"/>
    </row>
    <row r="3" spans="1:7" x14ac:dyDescent="0.25">
      <c r="A3" s="2"/>
      <c r="B3" s="2" t="s">
        <v>4</v>
      </c>
      <c r="C3" s="2" t="s">
        <v>4</v>
      </c>
      <c r="D3" s="2" t="s">
        <v>4</v>
      </c>
      <c r="E3" s="2" t="s">
        <v>4</v>
      </c>
      <c r="F3" s="49" t="s">
        <v>4</v>
      </c>
      <c r="G3" s="50"/>
    </row>
    <row r="4" spans="1:7" ht="23.4" x14ac:dyDescent="0.6">
      <c r="A4" s="2"/>
      <c r="B4" s="3" t="s">
        <v>5</v>
      </c>
      <c r="C4" s="4" t="s">
        <v>6</v>
      </c>
      <c r="D4" s="3" t="s">
        <v>5</v>
      </c>
      <c r="E4" s="4" t="s">
        <v>6</v>
      </c>
      <c r="F4" s="5" t="s">
        <v>7</v>
      </c>
      <c r="G4" s="9" t="s">
        <v>8</v>
      </c>
    </row>
    <row r="5" spans="1:7" x14ac:dyDescent="0.25">
      <c r="A5" s="23">
        <v>244381</v>
      </c>
      <c r="B5" s="4">
        <v>67040</v>
      </c>
      <c r="C5" s="4">
        <v>55268</v>
      </c>
      <c r="D5" s="4">
        <v>2958</v>
      </c>
      <c r="E5" s="4">
        <v>2277</v>
      </c>
      <c r="F5" s="4"/>
      <c r="G5" s="4">
        <v>5235</v>
      </c>
    </row>
    <row r="6" spans="1:7" x14ac:dyDescent="0.25">
      <c r="A6" s="24">
        <v>244382</v>
      </c>
      <c r="B6" s="2">
        <v>69998</v>
      </c>
      <c r="C6" s="2">
        <v>57545</v>
      </c>
      <c r="D6" s="2">
        <v>3300</v>
      </c>
      <c r="E6" s="2">
        <v>2524</v>
      </c>
      <c r="F6" s="2">
        <v>5824</v>
      </c>
      <c r="G6" s="2"/>
    </row>
    <row r="7" spans="1:7" x14ac:dyDescent="0.25">
      <c r="A7" s="24">
        <v>244383</v>
      </c>
      <c r="B7" s="2">
        <v>73298</v>
      </c>
      <c r="C7" s="2">
        <v>60069</v>
      </c>
      <c r="D7" s="2">
        <v>3287</v>
      </c>
      <c r="E7" s="2">
        <v>2499</v>
      </c>
      <c r="F7" s="2">
        <v>5786</v>
      </c>
      <c r="G7" s="2"/>
    </row>
    <row r="8" spans="1:7" x14ac:dyDescent="0.25">
      <c r="A8" s="24">
        <v>244384</v>
      </c>
      <c r="B8" s="2">
        <v>76585</v>
      </c>
      <c r="C8" s="2">
        <v>62568</v>
      </c>
      <c r="D8" s="2">
        <v>3098</v>
      </c>
      <c r="E8" s="2">
        <v>2329</v>
      </c>
      <c r="F8" s="2">
        <v>5427</v>
      </c>
      <c r="G8" s="2"/>
    </row>
    <row r="9" spans="1:7" x14ac:dyDescent="0.25">
      <c r="A9" s="24">
        <v>244385</v>
      </c>
      <c r="B9" s="2">
        <v>79683</v>
      </c>
      <c r="C9" s="2">
        <v>64897</v>
      </c>
      <c r="D9" s="2">
        <v>3392</v>
      </c>
      <c r="E9" s="2">
        <v>2440</v>
      </c>
      <c r="F9" s="2">
        <v>5832</v>
      </c>
      <c r="G9" s="2"/>
    </row>
    <row r="10" spans="1:7" x14ac:dyDescent="0.25">
      <c r="A10" s="24">
        <v>244386</v>
      </c>
      <c r="B10" s="2">
        <v>83075</v>
      </c>
      <c r="C10" s="2">
        <v>67337</v>
      </c>
      <c r="D10" s="2">
        <v>3515</v>
      </c>
      <c r="E10" s="2">
        <v>2463</v>
      </c>
      <c r="F10" s="2">
        <v>5978</v>
      </c>
      <c r="G10" s="2"/>
    </row>
    <row r="11" spans="1:7" x14ac:dyDescent="0.25">
      <c r="A11" s="23">
        <v>244387</v>
      </c>
      <c r="B11" s="4">
        <v>86590</v>
      </c>
      <c r="C11" s="4">
        <v>69800</v>
      </c>
      <c r="D11" s="4">
        <v>3678</v>
      </c>
      <c r="E11" s="4">
        <v>2863</v>
      </c>
      <c r="F11" s="4"/>
      <c r="G11" s="4">
        <v>6541</v>
      </c>
    </row>
    <row r="12" spans="1:7" x14ac:dyDescent="0.25">
      <c r="A12" s="23">
        <v>244388</v>
      </c>
      <c r="B12" s="4">
        <v>90268</v>
      </c>
      <c r="C12" s="4">
        <v>72663</v>
      </c>
      <c r="D12" s="4"/>
      <c r="E12" s="4"/>
      <c r="F12" s="4"/>
      <c r="G12" s="4"/>
    </row>
    <row r="13" spans="1:7" x14ac:dyDescent="0.25">
      <c r="A13" s="24">
        <v>244389</v>
      </c>
      <c r="B13" s="2"/>
      <c r="C13" s="2"/>
      <c r="D13" s="2"/>
      <c r="E13" s="2"/>
      <c r="F13" s="2"/>
      <c r="G13" s="2"/>
    </row>
    <row r="14" spans="1:7" x14ac:dyDescent="0.25">
      <c r="A14" s="24">
        <v>244390</v>
      </c>
      <c r="B14" s="2"/>
      <c r="C14" s="2"/>
      <c r="D14" s="2"/>
      <c r="E14" s="2"/>
      <c r="F14" s="2"/>
      <c r="G14" s="2"/>
    </row>
    <row r="15" spans="1:7" x14ac:dyDescent="0.25">
      <c r="A15" s="24">
        <v>244391</v>
      </c>
      <c r="B15" s="2"/>
      <c r="C15" s="2"/>
      <c r="D15" s="2"/>
      <c r="E15" s="2"/>
      <c r="F15" s="2"/>
      <c r="G15" s="2"/>
    </row>
    <row r="16" spans="1:7" x14ac:dyDescent="0.25">
      <c r="A16" s="24">
        <v>244392</v>
      </c>
      <c r="B16" s="2"/>
      <c r="C16" s="2"/>
      <c r="D16" s="2"/>
      <c r="E16" s="2"/>
      <c r="F16" s="2"/>
      <c r="G16" s="2"/>
    </row>
    <row r="17" spans="1:7" x14ac:dyDescent="0.25">
      <c r="A17" s="24">
        <v>244393</v>
      </c>
      <c r="B17" s="2"/>
      <c r="C17" s="2"/>
      <c r="D17" s="2"/>
      <c r="E17" s="2"/>
      <c r="F17" s="2"/>
      <c r="G17" s="2"/>
    </row>
    <row r="18" spans="1:7" x14ac:dyDescent="0.25">
      <c r="A18" s="23">
        <v>244394</v>
      </c>
      <c r="B18" s="4"/>
      <c r="C18" s="4"/>
      <c r="D18" s="4"/>
      <c r="E18" s="4"/>
      <c r="F18" s="4"/>
      <c r="G18" s="4"/>
    </row>
    <row r="19" spans="1:7" x14ac:dyDescent="0.25">
      <c r="A19" s="23">
        <v>244395</v>
      </c>
      <c r="B19" s="4"/>
      <c r="C19" s="4"/>
      <c r="D19" s="4"/>
      <c r="E19" s="4"/>
      <c r="F19" s="4"/>
      <c r="G19" s="4"/>
    </row>
    <row r="20" spans="1:7" x14ac:dyDescent="0.25">
      <c r="A20" s="24">
        <v>244396</v>
      </c>
      <c r="B20" s="2"/>
      <c r="C20" s="2"/>
      <c r="D20" s="2"/>
      <c r="E20" s="2"/>
      <c r="F20" s="2"/>
      <c r="G20" s="2"/>
    </row>
    <row r="21" spans="1:7" x14ac:dyDescent="0.25">
      <c r="A21" s="24">
        <v>244397</v>
      </c>
      <c r="B21" s="2"/>
      <c r="C21" s="2"/>
      <c r="D21" s="2"/>
      <c r="E21" s="2"/>
      <c r="F21" s="2"/>
      <c r="G21" s="2"/>
    </row>
    <row r="22" spans="1:7" x14ac:dyDescent="0.25">
      <c r="A22" s="24">
        <v>244398</v>
      </c>
      <c r="B22" s="2"/>
      <c r="C22" s="2"/>
      <c r="D22" s="2"/>
      <c r="E22" s="2"/>
      <c r="F22" s="2"/>
      <c r="G22" s="2"/>
    </row>
    <row r="23" spans="1:7" x14ac:dyDescent="0.25">
      <c r="A23" s="24">
        <v>244399</v>
      </c>
      <c r="B23" s="2"/>
      <c r="C23" s="2"/>
      <c r="D23" s="2"/>
      <c r="E23" s="2"/>
      <c r="F23" s="2"/>
      <c r="G23" s="2"/>
    </row>
    <row r="24" spans="1:7" x14ac:dyDescent="0.25">
      <c r="A24" s="24">
        <v>244400</v>
      </c>
      <c r="B24" s="2"/>
      <c r="C24" s="2"/>
      <c r="D24" s="2"/>
      <c r="E24" s="2"/>
      <c r="F24" s="2"/>
      <c r="G24" s="2"/>
    </row>
    <row r="25" spans="1:7" x14ac:dyDescent="0.25">
      <c r="A25" s="23">
        <v>244401</v>
      </c>
      <c r="B25" s="4"/>
      <c r="C25" s="4"/>
      <c r="D25" s="4"/>
      <c r="E25" s="4"/>
      <c r="F25" s="4"/>
      <c r="G25" s="4"/>
    </row>
    <row r="26" spans="1:7" x14ac:dyDescent="0.25">
      <c r="A26" s="23">
        <v>244402</v>
      </c>
      <c r="B26" s="4"/>
      <c r="C26" s="4"/>
      <c r="D26" s="4"/>
      <c r="E26" s="4"/>
      <c r="F26" s="4"/>
      <c r="G26" s="4"/>
    </row>
    <row r="27" spans="1:7" x14ac:dyDescent="0.25">
      <c r="A27" s="24">
        <v>244403</v>
      </c>
      <c r="B27" s="2"/>
      <c r="C27" s="2"/>
      <c r="D27" s="2"/>
      <c r="E27" s="2"/>
      <c r="F27" s="2"/>
      <c r="G27" s="2"/>
    </row>
    <row r="28" spans="1:7" x14ac:dyDescent="0.25">
      <c r="A28" s="24">
        <v>244404</v>
      </c>
      <c r="B28" s="2"/>
      <c r="C28" s="2"/>
      <c r="D28" s="2"/>
      <c r="E28" s="2"/>
      <c r="F28" s="2"/>
      <c r="G28" s="2"/>
    </row>
    <row r="29" spans="1:7" x14ac:dyDescent="0.25">
      <c r="A29" s="24">
        <v>244405</v>
      </c>
      <c r="B29" s="2"/>
      <c r="C29" s="2"/>
      <c r="D29" s="2"/>
      <c r="E29" s="2"/>
      <c r="F29" s="2"/>
      <c r="G29" s="2"/>
    </row>
    <row r="30" spans="1:7" x14ac:dyDescent="0.25">
      <c r="A30" s="24">
        <v>244406</v>
      </c>
      <c r="B30" s="2"/>
      <c r="C30" s="2"/>
      <c r="D30" s="2"/>
      <c r="E30" s="2"/>
      <c r="F30" s="2"/>
      <c r="G30" s="2"/>
    </row>
    <row r="31" spans="1:7" x14ac:dyDescent="0.25">
      <c r="A31" s="24">
        <v>244407</v>
      </c>
      <c r="B31" s="2"/>
      <c r="C31" s="2"/>
      <c r="D31" s="2"/>
      <c r="E31" s="2"/>
      <c r="F31" s="2"/>
      <c r="G31" s="2"/>
    </row>
    <row r="32" spans="1:7" x14ac:dyDescent="0.25">
      <c r="A32" s="23">
        <v>244408</v>
      </c>
      <c r="B32" s="4"/>
      <c r="C32" s="4"/>
      <c r="D32" s="4"/>
      <c r="E32" s="4"/>
      <c r="F32" s="4"/>
      <c r="G32" s="4"/>
    </row>
    <row r="33" spans="1:7" ht="23.4" x14ac:dyDescent="0.6">
      <c r="A33" s="25"/>
      <c r="B33" s="25"/>
      <c r="C33" s="25"/>
      <c r="D33" s="25"/>
      <c r="E33" s="10" t="s">
        <v>9</v>
      </c>
      <c r="F33" s="11"/>
      <c r="G33" s="11"/>
    </row>
    <row r="34" spans="1:7" ht="23.4" x14ac:dyDescent="0.6">
      <c r="A34" s="25"/>
      <c r="B34" s="25"/>
      <c r="C34" s="25"/>
      <c r="D34" s="25"/>
      <c r="E34" s="7"/>
      <c r="F34" s="25"/>
      <c r="G34" s="25"/>
    </row>
    <row r="35" spans="1:7" ht="23.4" x14ac:dyDescent="0.6">
      <c r="A35" s="25"/>
      <c r="B35" s="25"/>
      <c r="C35" s="25"/>
      <c r="D35" s="43" t="s">
        <v>10</v>
      </c>
      <c r="E35" s="43"/>
      <c r="F35" s="8">
        <v>4.58</v>
      </c>
      <c r="G35" s="8">
        <v>3</v>
      </c>
    </row>
    <row r="36" spans="1:7" ht="23.4" x14ac:dyDescent="0.6">
      <c r="A36" s="25"/>
      <c r="B36" s="25"/>
      <c r="C36" s="25"/>
      <c r="D36" s="36" t="s">
        <v>11</v>
      </c>
      <c r="E36" s="36"/>
      <c r="F36" s="5"/>
      <c r="G36" s="5"/>
    </row>
    <row r="37" spans="1:7" ht="23.4" x14ac:dyDescent="0.6">
      <c r="A37" s="28" t="s">
        <v>12</v>
      </c>
      <c r="B37" s="29"/>
      <c r="C37" s="30"/>
      <c r="D37" s="36" t="s">
        <v>13</v>
      </c>
      <c r="E37" s="36"/>
      <c r="F37" s="35"/>
      <c r="G37" s="35"/>
    </row>
    <row r="38" spans="1:7" ht="23.4" x14ac:dyDescent="0.6">
      <c r="A38" s="31"/>
      <c r="B38" s="32"/>
      <c r="C38" s="33"/>
      <c r="D38" s="36"/>
      <c r="E38" s="36"/>
      <c r="F38" s="36"/>
      <c r="G38" s="36"/>
    </row>
  </sheetData>
  <mergeCells count="11">
    <mergeCell ref="D36:E36"/>
    <mergeCell ref="A37:C38"/>
    <mergeCell ref="D37:E37"/>
    <mergeCell ref="F37:G37"/>
    <mergeCell ref="D38:G38"/>
    <mergeCell ref="D35:E35"/>
    <mergeCell ref="A1:G1"/>
    <mergeCell ref="B2:C2"/>
    <mergeCell ref="D2:E2"/>
    <mergeCell ref="F2:G2"/>
    <mergeCell ref="F3:G3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A79FC-4E7C-402D-B1F8-C4DFD786A31A}">
  <dimension ref="A1:G41"/>
  <sheetViews>
    <sheetView workbookViewId="0">
      <selection activeCell="F8" sqref="F8"/>
    </sheetView>
  </sheetViews>
  <sheetFormatPr defaultRowHeight="13.8" x14ac:dyDescent="0.25"/>
  <cols>
    <col min="1" max="1" width="9.296875" bestFit="1" customWidth="1"/>
  </cols>
  <sheetData>
    <row r="1" spans="1:7" ht="15" x14ac:dyDescent="0.25">
      <c r="A1" s="44" t="s">
        <v>18</v>
      </c>
      <c r="B1" s="44"/>
      <c r="C1" s="44"/>
      <c r="D1" s="44"/>
      <c r="E1" s="44"/>
      <c r="F1" s="44"/>
      <c r="G1" s="44"/>
    </row>
    <row r="2" spans="1:7" x14ac:dyDescent="0.25">
      <c r="A2" s="1" t="s">
        <v>0</v>
      </c>
      <c r="B2" s="45" t="s">
        <v>1</v>
      </c>
      <c r="C2" s="45"/>
      <c r="D2" s="46" t="s">
        <v>2</v>
      </c>
      <c r="E2" s="46"/>
      <c r="F2" s="47" t="s">
        <v>3</v>
      </c>
      <c r="G2" s="48"/>
    </row>
    <row r="3" spans="1:7" x14ac:dyDescent="0.25">
      <c r="A3" s="2"/>
      <c r="B3" s="2" t="s">
        <v>4</v>
      </c>
      <c r="C3" s="2" t="s">
        <v>4</v>
      </c>
      <c r="D3" s="2" t="s">
        <v>4</v>
      </c>
      <c r="E3" s="2" t="s">
        <v>4</v>
      </c>
      <c r="F3" s="49" t="s">
        <v>4</v>
      </c>
      <c r="G3" s="50"/>
    </row>
    <row r="4" spans="1:7" ht="23.4" x14ac:dyDescent="0.6">
      <c r="A4" s="2"/>
      <c r="B4" s="3" t="s">
        <v>5</v>
      </c>
      <c r="C4" s="4" t="s">
        <v>6</v>
      </c>
      <c r="D4" s="3" t="s">
        <v>5</v>
      </c>
      <c r="E4" s="4" t="s">
        <v>6</v>
      </c>
      <c r="F4" s="5" t="s">
        <v>7</v>
      </c>
      <c r="G4" s="9" t="s">
        <v>8</v>
      </c>
    </row>
    <row r="5" spans="1:7" x14ac:dyDescent="0.25">
      <c r="A5" s="12">
        <v>244409</v>
      </c>
      <c r="B5" s="26"/>
      <c r="C5" s="26"/>
      <c r="D5" s="26"/>
      <c r="E5" s="26"/>
      <c r="F5" s="26"/>
      <c r="G5" s="26"/>
    </row>
    <row r="6" spans="1:7" x14ac:dyDescent="0.25">
      <c r="A6" s="12">
        <v>244410</v>
      </c>
      <c r="B6" s="26"/>
      <c r="C6" s="26"/>
      <c r="D6" s="26"/>
      <c r="E6" s="26"/>
      <c r="F6" s="26"/>
      <c r="G6" s="26"/>
    </row>
    <row r="7" spans="1:7" x14ac:dyDescent="0.25">
      <c r="A7" s="12">
        <v>244411</v>
      </c>
      <c r="B7" s="26"/>
      <c r="C7" s="26"/>
      <c r="D7" s="26"/>
      <c r="E7" s="26"/>
      <c r="F7" s="26"/>
      <c r="G7" s="26"/>
    </row>
    <row r="8" spans="1:7" x14ac:dyDescent="0.25">
      <c r="A8" s="12">
        <v>244412</v>
      </c>
      <c r="B8" s="26"/>
      <c r="C8" s="26"/>
      <c r="D8" s="26"/>
      <c r="E8" s="26"/>
      <c r="F8" s="26"/>
      <c r="G8" s="26"/>
    </row>
    <row r="9" spans="1:7" x14ac:dyDescent="0.25">
      <c r="A9" s="12">
        <v>244413</v>
      </c>
      <c r="B9" s="26"/>
      <c r="C9" s="26"/>
      <c r="D9" s="26"/>
      <c r="E9" s="26"/>
      <c r="F9" s="26"/>
      <c r="G9" s="26"/>
    </row>
    <row r="10" spans="1:7" x14ac:dyDescent="0.25">
      <c r="A10" s="12">
        <v>244414</v>
      </c>
      <c r="B10" s="26"/>
      <c r="C10" s="26"/>
      <c r="D10" s="26"/>
      <c r="E10" s="26"/>
      <c r="F10" s="26"/>
      <c r="G10" s="26"/>
    </row>
    <row r="11" spans="1:7" x14ac:dyDescent="0.25">
      <c r="A11" s="12">
        <v>244415</v>
      </c>
      <c r="B11" s="26"/>
      <c r="C11" s="26"/>
      <c r="D11" s="26"/>
      <c r="E11" s="26"/>
      <c r="F11" s="26"/>
      <c r="G11" s="26"/>
    </row>
    <row r="12" spans="1:7" x14ac:dyDescent="0.25">
      <c r="A12" s="12">
        <v>244416</v>
      </c>
      <c r="B12" s="26"/>
      <c r="C12" s="26"/>
      <c r="D12" s="26"/>
      <c r="E12" s="26"/>
      <c r="F12" s="26"/>
      <c r="G12" s="26"/>
    </row>
    <row r="13" spans="1:7" x14ac:dyDescent="0.25">
      <c r="A13" s="12">
        <v>244417</v>
      </c>
      <c r="B13" s="26"/>
      <c r="C13" s="26"/>
      <c r="D13" s="26"/>
      <c r="E13" s="26"/>
      <c r="F13" s="26"/>
      <c r="G13" s="26"/>
    </row>
    <row r="14" spans="1:7" x14ac:dyDescent="0.25">
      <c r="A14" s="12">
        <v>244418</v>
      </c>
      <c r="B14" s="26"/>
      <c r="C14" s="26"/>
      <c r="D14" s="26"/>
      <c r="E14" s="26"/>
      <c r="F14" s="26"/>
      <c r="G14" s="26"/>
    </row>
    <row r="15" spans="1:7" x14ac:dyDescent="0.25">
      <c r="A15" s="12">
        <v>244419</v>
      </c>
      <c r="B15" s="26"/>
      <c r="C15" s="26"/>
      <c r="D15" s="26"/>
      <c r="E15" s="26"/>
      <c r="F15" s="26"/>
      <c r="G15" s="26"/>
    </row>
    <row r="16" spans="1:7" x14ac:dyDescent="0.25">
      <c r="A16" s="12">
        <v>244420</v>
      </c>
      <c r="B16" s="26"/>
      <c r="C16" s="26"/>
      <c r="D16" s="26"/>
      <c r="E16" s="26"/>
      <c r="F16" s="26"/>
      <c r="G16" s="26"/>
    </row>
    <row r="17" spans="1:7" x14ac:dyDescent="0.25">
      <c r="A17" s="12">
        <v>244421</v>
      </c>
      <c r="B17" s="26"/>
      <c r="C17" s="26"/>
      <c r="D17" s="26"/>
      <c r="E17" s="26"/>
      <c r="F17" s="26"/>
      <c r="G17" s="26"/>
    </row>
    <row r="18" spans="1:7" x14ac:dyDescent="0.25">
      <c r="A18" s="12">
        <v>244422</v>
      </c>
      <c r="B18" s="26"/>
      <c r="C18" s="26"/>
      <c r="D18" s="26"/>
      <c r="E18" s="26"/>
      <c r="F18" s="26"/>
      <c r="G18" s="26"/>
    </row>
    <row r="19" spans="1:7" x14ac:dyDescent="0.25">
      <c r="A19" s="12">
        <v>244423</v>
      </c>
      <c r="B19" s="26"/>
      <c r="C19" s="26"/>
      <c r="D19" s="26"/>
      <c r="E19" s="26"/>
      <c r="F19" s="26"/>
      <c r="G19" s="26"/>
    </row>
    <row r="20" spans="1:7" x14ac:dyDescent="0.25">
      <c r="A20" s="12">
        <v>244424</v>
      </c>
      <c r="B20" s="26"/>
      <c r="C20" s="26"/>
      <c r="D20" s="26"/>
      <c r="E20" s="26"/>
      <c r="F20" s="26"/>
      <c r="G20" s="26"/>
    </row>
    <row r="21" spans="1:7" x14ac:dyDescent="0.25">
      <c r="A21" s="12">
        <v>244425</v>
      </c>
      <c r="B21" s="26"/>
      <c r="C21" s="26"/>
      <c r="D21" s="26"/>
      <c r="E21" s="26"/>
      <c r="F21" s="26"/>
      <c r="G21" s="26"/>
    </row>
    <row r="22" spans="1:7" x14ac:dyDescent="0.25">
      <c r="A22" s="12">
        <v>244426</v>
      </c>
      <c r="B22" s="26"/>
      <c r="C22" s="26"/>
      <c r="D22" s="26"/>
      <c r="E22" s="26"/>
      <c r="F22" s="26"/>
      <c r="G22" s="26"/>
    </row>
    <row r="23" spans="1:7" x14ac:dyDescent="0.25">
      <c r="A23" s="12">
        <v>244427</v>
      </c>
      <c r="B23" s="26"/>
      <c r="C23" s="26"/>
      <c r="D23" s="26"/>
      <c r="E23" s="26"/>
      <c r="F23" s="26"/>
      <c r="G23" s="26"/>
    </row>
    <row r="24" spans="1:7" x14ac:dyDescent="0.25">
      <c r="A24" s="12">
        <v>244428</v>
      </c>
      <c r="B24" s="26"/>
      <c r="C24" s="26"/>
      <c r="D24" s="26"/>
      <c r="E24" s="26"/>
      <c r="F24" s="26"/>
      <c r="G24" s="26"/>
    </row>
    <row r="25" spans="1:7" x14ac:dyDescent="0.25">
      <c r="A25" s="12">
        <v>244429</v>
      </c>
      <c r="B25" s="26"/>
      <c r="C25" s="26"/>
      <c r="D25" s="26"/>
      <c r="E25" s="26"/>
      <c r="F25" s="26"/>
      <c r="G25" s="26"/>
    </row>
    <row r="26" spans="1:7" x14ac:dyDescent="0.25">
      <c r="A26" s="12">
        <v>244430</v>
      </c>
      <c r="B26" s="26"/>
      <c r="C26" s="26"/>
      <c r="D26" s="26"/>
      <c r="E26" s="26"/>
      <c r="F26" s="26"/>
      <c r="G26" s="26"/>
    </row>
    <row r="27" spans="1:7" x14ac:dyDescent="0.25">
      <c r="A27" s="12">
        <v>244431</v>
      </c>
      <c r="B27" s="26"/>
      <c r="C27" s="26"/>
      <c r="D27" s="26"/>
      <c r="E27" s="26"/>
      <c r="F27" s="26"/>
      <c r="G27" s="26"/>
    </row>
    <row r="28" spans="1:7" x14ac:dyDescent="0.25">
      <c r="A28" s="12">
        <v>244432</v>
      </c>
      <c r="B28" s="26"/>
      <c r="C28" s="26"/>
      <c r="D28" s="26"/>
      <c r="E28" s="26"/>
      <c r="F28" s="26"/>
      <c r="G28" s="26"/>
    </row>
    <row r="29" spans="1:7" x14ac:dyDescent="0.25">
      <c r="A29" s="12">
        <v>244433</v>
      </c>
      <c r="B29" s="26"/>
      <c r="C29" s="26"/>
      <c r="D29" s="26"/>
      <c r="E29" s="26"/>
      <c r="F29" s="26"/>
      <c r="G29" s="26"/>
    </row>
    <row r="30" spans="1:7" x14ac:dyDescent="0.25">
      <c r="A30" s="12">
        <v>244434</v>
      </c>
      <c r="B30" s="26"/>
      <c r="C30" s="26"/>
      <c r="D30" s="26"/>
      <c r="E30" s="26"/>
      <c r="F30" s="26"/>
      <c r="G30" s="26"/>
    </row>
    <row r="31" spans="1:7" x14ac:dyDescent="0.25">
      <c r="A31" s="12">
        <v>244435</v>
      </c>
      <c r="B31" s="26"/>
      <c r="C31" s="26"/>
      <c r="D31" s="26"/>
      <c r="E31" s="26"/>
      <c r="F31" s="26"/>
      <c r="G31" s="26"/>
    </row>
    <row r="32" spans="1:7" x14ac:dyDescent="0.25">
      <c r="A32" s="12">
        <v>244436</v>
      </c>
      <c r="B32" s="26"/>
      <c r="C32" s="26"/>
      <c r="D32" s="26"/>
      <c r="E32" s="26"/>
      <c r="F32" s="26"/>
      <c r="G32" s="26"/>
    </row>
    <row r="33" spans="1:7" x14ac:dyDescent="0.25">
      <c r="A33" s="12">
        <v>244437</v>
      </c>
      <c r="B33" s="26"/>
      <c r="C33" s="26"/>
      <c r="D33" s="26"/>
      <c r="E33" s="26"/>
      <c r="F33" s="26"/>
      <c r="G33" s="26"/>
    </row>
    <row r="34" spans="1:7" x14ac:dyDescent="0.25">
      <c r="A34" s="12">
        <v>244438</v>
      </c>
      <c r="B34" s="26"/>
      <c r="C34" s="26"/>
      <c r="D34" s="26"/>
      <c r="E34" s="26"/>
      <c r="F34" s="26"/>
      <c r="G34" s="26"/>
    </row>
    <row r="35" spans="1:7" x14ac:dyDescent="0.25">
      <c r="A35" s="12">
        <v>244439</v>
      </c>
      <c r="B35" s="26"/>
      <c r="C35" s="26"/>
      <c r="D35" s="26"/>
      <c r="E35" s="26"/>
      <c r="F35" s="26"/>
      <c r="G35" s="26"/>
    </row>
    <row r="36" spans="1:7" ht="23.4" x14ac:dyDescent="0.6">
      <c r="A36" s="25"/>
      <c r="B36" s="25"/>
      <c r="C36" s="25"/>
      <c r="D36" s="25"/>
      <c r="E36" s="10" t="s">
        <v>9</v>
      </c>
      <c r="F36" s="11"/>
      <c r="G36" s="11"/>
    </row>
    <row r="37" spans="1:7" ht="23.4" x14ac:dyDescent="0.6">
      <c r="A37" s="25"/>
      <c r="B37" s="25"/>
      <c r="C37" s="25"/>
      <c r="D37" s="25"/>
      <c r="E37" s="7"/>
      <c r="F37" s="25"/>
      <c r="G37" s="25"/>
    </row>
    <row r="38" spans="1:7" ht="23.4" x14ac:dyDescent="0.6">
      <c r="A38" s="25"/>
      <c r="B38" s="25"/>
      <c r="C38" s="25"/>
      <c r="D38" s="43" t="s">
        <v>10</v>
      </c>
      <c r="E38" s="43"/>
      <c r="F38" s="8">
        <v>4.58</v>
      </c>
      <c r="G38" s="8">
        <v>3</v>
      </c>
    </row>
    <row r="39" spans="1:7" ht="23.4" x14ac:dyDescent="0.6">
      <c r="A39" s="25"/>
      <c r="B39" s="25"/>
      <c r="C39" s="25"/>
      <c r="D39" s="36" t="s">
        <v>11</v>
      </c>
      <c r="E39" s="36"/>
      <c r="F39" s="5"/>
      <c r="G39" s="5"/>
    </row>
    <row r="40" spans="1:7" ht="23.4" x14ac:dyDescent="0.6">
      <c r="A40" s="28" t="s">
        <v>12</v>
      </c>
      <c r="B40" s="29"/>
      <c r="C40" s="30"/>
      <c r="D40" s="36" t="s">
        <v>13</v>
      </c>
      <c r="E40" s="36"/>
      <c r="F40" s="35"/>
      <c r="G40" s="35"/>
    </row>
    <row r="41" spans="1:7" ht="23.4" x14ac:dyDescent="0.6">
      <c r="A41" s="31"/>
      <c r="B41" s="32"/>
      <c r="C41" s="33"/>
      <c r="D41" s="36"/>
      <c r="E41" s="36"/>
      <c r="F41" s="36"/>
      <c r="G41" s="36"/>
    </row>
  </sheetData>
  <mergeCells count="11">
    <mergeCell ref="D39:E39"/>
    <mergeCell ref="A40:C41"/>
    <mergeCell ref="D40:E40"/>
    <mergeCell ref="F40:G40"/>
    <mergeCell ref="D41:G41"/>
    <mergeCell ref="D38:E38"/>
    <mergeCell ref="A1:G1"/>
    <mergeCell ref="B2:C2"/>
    <mergeCell ref="D2:E2"/>
    <mergeCell ref="F2:G2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เอกพัน ระบาเลิศ</dc:creator>
  <cp:lastModifiedBy>เอกพัน ระบาเลิศ</cp:lastModifiedBy>
  <cp:lastPrinted>2026-02-02T02:53:01Z</cp:lastPrinted>
  <dcterms:created xsi:type="dcterms:W3CDTF">2026-01-10T04:50:53Z</dcterms:created>
  <dcterms:modified xsi:type="dcterms:W3CDTF">2026-03-23T06:49:49Z</dcterms:modified>
</cp:coreProperties>
</file>